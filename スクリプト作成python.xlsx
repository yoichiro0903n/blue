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e51782_jp_ibm_com/Documents/Thinkpad/clementine/ノード一覧/逆引き辞書/"/>
    </mc:Choice>
  </mc:AlternateContent>
  <xr:revisionPtr revIDLastSave="0" documentId="8_{CB657FB6-4280-D943-9899-CE24AF3B6619}" xr6:coauthVersionLast="47" xr6:coauthVersionMax="47" xr10:uidLastSave="{00000000-0000-0000-0000-000000000000}"/>
  <bookViews>
    <workbookView xWindow="0" yWindow="680" windowWidth="30240" windowHeight="17340" xr2:uid="{3F958954-AD92-6C44-996A-1D71B3C639DC}"/>
  </bookViews>
  <sheets>
    <sheet name="python" sheetId="2" r:id="rId1"/>
    <sheet name="従来スクリプト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  <c r="K10" i="2"/>
  <c r="K11" i="2"/>
  <c r="K9" i="2"/>
  <c r="K8" i="2"/>
  <c r="K5" i="2"/>
  <c r="K3" i="2"/>
  <c r="D12" i="2"/>
  <c r="H11" i="2"/>
  <c r="D11" i="2"/>
  <c r="H10" i="2"/>
  <c r="D10" i="2"/>
  <c r="H9" i="2"/>
  <c r="D9" i="2"/>
  <c r="H8" i="2"/>
  <c r="K6" i="1"/>
  <c r="K5" i="1"/>
  <c r="K12" i="1"/>
  <c r="K10" i="1"/>
  <c r="K11" i="1"/>
  <c r="K9" i="1"/>
  <c r="K8" i="1"/>
  <c r="D12" i="1"/>
  <c r="H11" i="1"/>
  <c r="H9" i="1"/>
  <c r="H10" i="1"/>
  <c r="H8" i="1"/>
  <c r="D10" i="1"/>
  <c r="D11" i="1"/>
  <c r="D9" i="1"/>
</calcChain>
</file>

<file path=xl/sharedStrings.xml><?xml version="1.0" encoding="utf-8"?>
<sst xmlns="http://schemas.openxmlformats.org/spreadsheetml/2006/main" count="52" uniqueCount="17">
  <si>
    <t>NaRank</t>
    <phoneticPr fontId="1"/>
  </si>
  <si>
    <t>デフォルト値</t>
    <rPh sb="5" eb="6">
      <t xml:space="preserve">チ </t>
    </rPh>
    <phoneticPr fontId="1"/>
  </si>
  <si>
    <t>D</t>
    <phoneticPr fontId="1"/>
  </si>
  <si>
    <t>最小値</t>
    <rPh sb="0" eb="3">
      <t>サイショ</t>
    </rPh>
    <phoneticPr fontId="1"/>
  </si>
  <si>
    <t>Cm</t>
    <phoneticPr fontId="1"/>
  </si>
  <si>
    <t>Bm</t>
    <phoneticPr fontId="1"/>
  </si>
  <si>
    <t>A</t>
    <phoneticPr fontId="1"/>
  </si>
  <si>
    <t>Bp</t>
    <phoneticPr fontId="1"/>
  </si>
  <si>
    <t>Cp</t>
    <phoneticPr fontId="1"/>
  </si>
  <si>
    <t>最大値</t>
    <rPh sb="0" eb="1">
      <t>サイダイク</t>
    </rPh>
    <phoneticPr fontId="1"/>
  </si>
  <si>
    <t>Na</t>
    <phoneticPr fontId="1"/>
  </si>
  <si>
    <t>フィールド名</t>
    <phoneticPr fontId="1"/>
  </si>
  <si>
    <t>が</t>
    <phoneticPr fontId="1"/>
  </si>
  <si>
    <t>未満</t>
    <rPh sb="0" eb="2">
      <t>ミマn</t>
    </rPh>
    <phoneticPr fontId="1"/>
  </si>
  <si>
    <t>以上</t>
    <rPh sb="0" eb="2">
      <t>イジョウ</t>
    </rPh>
    <phoneticPr fontId="1"/>
  </si>
  <si>
    <t>stream = modeler.script.stream()</t>
    <phoneticPr fontId="1"/>
  </si>
  <si>
    <t>node.setPropertyValue("result_type", "Set")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</si>
</sst>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quotePrefix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7" borderId="0" xfId="0" quotePrefix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C10A-F39E-4625-BB6F-7D04755E78C4}">
  <dimension ref="A2:K12"/>
  <sheetViews>
    <sheetView tabSelected="1" zoomScale="120" zoomScaleNormal="120" workbookViewId="0">
      <selection activeCell="K18" sqref="K18"/>
    </sheetView>
  </sheetViews>
  <sheetFormatPr baseColWidth="10" defaultColWidth="11.5703125" defaultRowHeight="20"/>
  <cols>
    <col min="1" max="1" width="11.5703125" customWidth="1"/>
    <col min="2" max="2" width="12" bestFit="1" customWidth="1"/>
    <col min="3" max="3" width="6.140625" customWidth="1"/>
    <col min="4" max="4" width="5.140625" bestFit="1" customWidth="1"/>
    <col min="5" max="5" width="4.5703125" customWidth="1"/>
    <col min="6" max="6" width="5.7109375" bestFit="1" customWidth="1"/>
    <col min="7" max="7" width="6.7109375" customWidth="1"/>
    <col min="8" max="8" width="5.7109375" bestFit="1" customWidth="1"/>
    <col min="9" max="9" width="6.85546875" bestFit="1" customWidth="1"/>
    <col min="10" max="10" width="4.7109375" customWidth="1"/>
    <col min="11" max="11" width="73.140625" customWidth="1"/>
    <col min="13" max="13" width="10.42578125" customWidth="1"/>
  </cols>
  <sheetData>
    <row r="2" spans="1:11" ht="21" thickBot="1">
      <c r="K2" s="6" t="s">
        <v>15</v>
      </c>
    </row>
    <row r="3" spans="1:11" ht="30" customHeight="1" thickBot="1">
      <c r="A3" t="s">
        <v>11</v>
      </c>
      <c r="B3" s="2" t="s">
        <v>0</v>
      </c>
      <c r="K3" s="7" t="str">
        <f>_xlfn.CONCAT("node = stream.findByType(""derive"", """,$B$3,""")")</f>
        <v>node = stream.findByType("derive", "NaRank")</v>
      </c>
    </row>
    <row r="4" spans="1:11" ht="21" thickBot="1">
      <c r="K4" s="7" t="s">
        <v>16</v>
      </c>
    </row>
    <row r="5" spans="1:11" ht="21" thickBot="1">
      <c r="A5" t="s">
        <v>1</v>
      </c>
      <c r="B5" s="1" t="s">
        <v>2</v>
      </c>
      <c r="K5" s="7" t="str">
        <f>_xlfn.CONCAT("node.setPropertyValue(""set_default"", """,$B$5,""")")</f>
        <v>node.setPropertyValue("set_default", "D")</v>
      </c>
    </row>
    <row r="6" spans="1:11">
      <c r="K6" s="7"/>
    </row>
    <row r="7" spans="1:11" ht="21" thickBot="1">
      <c r="K7" s="6"/>
    </row>
    <row r="8" spans="1:11" ht="21" thickBot="1">
      <c r="A8" t="s">
        <v>3</v>
      </c>
      <c r="B8" s="1" t="s">
        <v>4</v>
      </c>
      <c r="D8" s="2" t="s">
        <v>10</v>
      </c>
      <c r="E8" t="s">
        <v>12</v>
      </c>
      <c r="H8" s="3">
        <f>$F9</f>
        <v>0.55000000000000004</v>
      </c>
      <c r="I8" t="s">
        <v>13</v>
      </c>
      <c r="K8" s="7" t="str">
        <f>_xlfn.CONCAT("node.setKeyedPropertyValue(""set_value_cond"", """,B8,""" ,  """,D8,"&lt;",H8,""")")</f>
        <v>node.setKeyedPropertyValue("set_value_cond", "Cm" ,  "Na&lt;0.55")</v>
      </c>
    </row>
    <row r="9" spans="1:11" ht="21" thickBot="1">
      <c r="B9" s="1" t="s">
        <v>5</v>
      </c>
      <c r="D9" s="3" t="str">
        <f>$D$8</f>
        <v>Na</v>
      </c>
      <c r="E9" t="s">
        <v>12</v>
      </c>
      <c r="F9" s="1">
        <v>0.55000000000000004</v>
      </c>
      <c r="G9" t="s">
        <v>14</v>
      </c>
      <c r="H9" s="3">
        <f t="shared" ref="H9:H11" si="0">$F10</f>
        <v>0.65</v>
      </c>
      <c r="I9" t="s">
        <v>13</v>
      </c>
      <c r="K9" s="7" t="str">
        <f>_xlfn.CONCAT("node.setKeyedPropertyValue(""set_value_cond"", """,B9,""",  """,D9," &gt;= ",F9," and ",D9," &lt; ",H9,""")")</f>
        <v>node.setKeyedPropertyValue("set_value_cond", "Bm",  "Na &gt;= 0.55 and Na &lt; 0.65")</v>
      </c>
    </row>
    <row r="10" spans="1:11" ht="21" thickBot="1">
      <c r="B10" s="1" t="s">
        <v>6</v>
      </c>
      <c r="D10" s="3" t="str">
        <f t="shared" ref="D10:D12" si="1">$D$8</f>
        <v>Na</v>
      </c>
      <c r="E10" t="s">
        <v>12</v>
      </c>
      <c r="F10" s="1">
        <v>0.65</v>
      </c>
      <c r="G10" t="s">
        <v>14</v>
      </c>
      <c r="H10" s="3">
        <f t="shared" si="0"/>
        <v>0.75</v>
      </c>
      <c r="I10" t="s">
        <v>13</v>
      </c>
      <c r="K10" s="7" t="str">
        <f t="shared" ref="K10:K11" si="2">_xlfn.CONCAT("node.setKeyedPropertyValue(""set_value_cond"", """,B10,""",  """,D10," &gt;= ",F10," and ",D10," &lt; ",H10,""")")</f>
        <v>node.setKeyedPropertyValue("set_value_cond", "A",  "Na &gt;= 0.65 and Na &lt; 0.75")</v>
      </c>
    </row>
    <row r="11" spans="1:11" ht="21" thickBot="1">
      <c r="B11" s="1" t="s">
        <v>7</v>
      </c>
      <c r="D11" s="3" t="str">
        <f t="shared" si="1"/>
        <v>Na</v>
      </c>
      <c r="E11" t="s">
        <v>12</v>
      </c>
      <c r="F11" s="1">
        <v>0.75</v>
      </c>
      <c r="G11" t="s">
        <v>14</v>
      </c>
      <c r="H11" s="3">
        <f t="shared" si="0"/>
        <v>0.85</v>
      </c>
      <c r="I11" t="s">
        <v>13</v>
      </c>
      <c r="K11" s="7" t="str">
        <f t="shared" si="2"/>
        <v>node.setKeyedPropertyValue("set_value_cond", "Bp",  "Na &gt;= 0.75 and Na &lt; 0.85")</v>
      </c>
    </row>
    <row r="12" spans="1:11" ht="21" thickBot="1">
      <c r="A12" t="s">
        <v>9</v>
      </c>
      <c r="B12" s="1" t="s">
        <v>8</v>
      </c>
      <c r="D12" s="3" t="str">
        <f t="shared" si="1"/>
        <v>Na</v>
      </c>
      <c r="E12" t="s">
        <v>12</v>
      </c>
      <c r="F12" s="1">
        <v>0.85</v>
      </c>
      <c r="G12" t="s">
        <v>14</v>
      </c>
      <c r="K12" s="7" t="str">
        <f>_xlfn.CONCAT("node.setKeyedPropertyValue(""set_value_cond"", """,B12,""" ,  """,D12," &gt;=",F12,""")")</f>
        <v>node.setKeyedPropertyValue("set_value_cond", "Cp" ,  "Na &gt;=0.85")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7AB7-8EC2-D348-9845-90B8B3E7AA6B}">
  <dimension ref="A2:K12"/>
  <sheetViews>
    <sheetView zoomScale="120" zoomScaleNormal="120" workbookViewId="0">
      <selection activeCell="F9" sqref="F9"/>
    </sheetView>
  </sheetViews>
  <sheetFormatPr baseColWidth="10" defaultColWidth="11.5703125" defaultRowHeight="20"/>
  <cols>
    <col min="1" max="1" width="11.5703125" customWidth="1"/>
    <col min="2" max="2" width="12" bestFit="1" customWidth="1"/>
    <col min="3" max="3" width="6.140625" customWidth="1"/>
    <col min="4" max="4" width="5.140625" bestFit="1" customWidth="1"/>
    <col min="5" max="5" width="4.5703125" customWidth="1"/>
    <col min="6" max="6" width="5.7109375" bestFit="1" customWidth="1"/>
    <col min="7" max="7" width="6.7109375" customWidth="1"/>
    <col min="8" max="8" width="5.7109375" bestFit="1" customWidth="1"/>
    <col min="9" max="9" width="6.85546875" bestFit="1" customWidth="1"/>
    <col min="10" max="10" width="4.7109375" customWidth="1"/>
    <col min="11" max="11" width="73.140625" customWidth="1"/>
    <col min="13" max="13" width="10.42578125" customWidth="1"/>
  </cols>
  <sheetData>
    <row r="2" spans="1:11" ht="21" thickBot="1"/>
    <row r="3" spans="1:11" ht="30" customHeight="1" thickBot="1">
      <c r="A3" t="s">
        <v>11</v>
      </c>
      <c r="B3" s="2" t="s">
        <v>0</v>
      </c>
    </row>
    <row r="4" spans="1:11" ht="21" thickBot="1">
      <c r="A4" t="s">
        <v>1</v>
      </c>
      <c r="B4" s="1" t="s">
        <v>2</v>
      </c>
    </row>
    <row r="5" spans="1:11">
      <c r="K5" s="4" t="str">
        <f>_xlfn.CONCAT("set ",$B$3,":derivenode.result_type  = Set")</f>
        <v>set NaRank:derivenode.result_type  = Set</v>
      </c>
    </row>
    <row r="6" spans="1:11">
      <c r="K6" s="4" t="str">
        <f>_xlfn.CONCAT("set ",$B$3,":derivenode.set_default  = ",$B$4)</f>
        <v>set NaRank:derivenode.set_default  = D</v>
      </c>
    </row>
    <row r="7" spans="1:11" ht="21" thickBot="1">
      <c r="K7" s="5"/>
    </row>
    <row r="8" spans="1:11" ht="21" thickBot="1">
      <c r="A8" t="s">
        <v>3</v>
      </c>
      <c r="B8" s="1" t="s">
        <v>4</v>
      </c>
      <c r="D8" s="2" t="s">
        <v>10</v>
      </c>
      <c r="E8" t="s">
        <v>12</v>
      </c>
      <c r="H8" s="3">
        <f>$F9</f>
        <v>0.55000000000000004</v>
      </c>
      <c r="I8" t="s">
        <v>13</v>
      </c>
      <c r="K8" s="4" t="str">
        <f>_xlfn.CONCAT("set ",$B$3,":derivenode.set_value_cond.",B8," =  """,D8,"&lt;",H8,"""")</f>
        <v>set NaRank:derivenode.set_value_cond.Cm =  "Na&lt;0.55"</v>
      </c>
    </row>
    <row r="9" spans="1:11" ht="21" thickBot="1">
      <c r="B9" s="1" t="s">
        <v>5</v>
      </c>
      <c r="D9" s="3" t="str">
        <f>$D$8</f>
        <v>Na</v>
      </c>
      <c r="E9" t="s">
        <v>12</v>
      </c>
      <c r="F9" s="1">
        <v>0.55000000000000004</v>
      </c>
      <c r="G9" t="s">
        <v>14</v>
      </c>
      <c r="H9" s="3">
        <f t="shared" ref="H9:H11" si="0">$F10</f>
        <v>0.65</v>
      </c>
      <c r="I9" t="s">
        <v>13</v>
      </c>
      <c r="K9" s="4" t="str">
        <f>_xlfn.CONCAT("set ",$B$3,":derivenode.set_value_cond.",B9," =  """,D9," &gt;= ",F9," and ",D9," &lt; ",H9,"""")</f>
        <v>set NaRank:derivenode.set_value_cond.Bm =  "Na &gt;= 0.55 and Na &lt; 0.65"</v>
      </c>
    </row>
    <row r="10" spans="1:11" ht="21" thickBot="1">
      <c r="B10" s="1" t="s">
        <v>6</v>
      </c>
      <c r="D10" s="3" t="str">
        <f t="shared" ref="D10:D12" si="1">$D$8</f>
        <v>Na</v>
      </c>
      <c r="E10" t="s">
        <v>12</v>
      </c>
      <c r="F10" s="1">
        <v>0.65</v>
      </c>
      <c r="G10" t="s">
        <v>14</v>
      </c>
      <c r="H10" s="3">
        <f t="shared" si="0"/>
        <v>0.75</v>
      </c>
      <c r="I10" t="s">
        <v>13</v>
      </c>
      <c r="K10" s="4" t="str">
        <f t="shared" ref="K10:K11" si="2">_xlfn.CONCAT("set ",$B$3,":derivenode.set_value_cond.",B10," =  """,D10," &gt;= ",F10," and ",D10," &lt; ",H10,"""")</f>
        <v>set NaRank:derivenode.set_value_cond.A =  "Na &gt;= 0.65 and Na &lt; 0.75"</v>
      </c>
    </row>
    <row r="11" spans="1:11" ht="21" thickBot="1">
      <c r="B11" s="1" t="s">
        <v>7</v>
      </c>
      <c r="D11" s="3" t="str">
        <f t="shared" si="1"/>
        <v>Na</v>
      </c>
      <c r="E11" t="s">
        <v>12</v>
      </c>
      <c r="F11" s="1">
        <v>0.75</v>
      </c>
      <c r="G11" t="s">
        <v>14</v>
      </c>
      <c r="H11" s="3">
        <f t="shared" si="0"/>
        <v>0.85</v>
      </c>
      <c r="I11" t="s">
        <v>13</v>
      </c>
      <c r="K11" s="4" t="str">
        <f t="shared" si="2"/>
        <v>set NaRank:derivenode.set_value_cond.Bp =  "Na &gt;= 0.75 and Na &lt; 0.85"</v>
      </c>
    </row>
    <row r="12" spans="1:11" ht="21" thickBot="1">
      <c r="A12" t="s">
        <v>9</v>
      </c>
      <c r="B12" s="1" t="s">
        <v>8</v>
      </c>
      <c r="D12" s="3" t="str">
        <f t="shared" si="1"/>
        <v>Na</v>
      </c>
      <c r="E12" t="s">
        <v>12</v>
      </c>
      <c r="F12" s="1">
        <v>0.85</v>
      </c>
      <c r="G12" t="s">
        <v>14</v>
      </c>
      <c r="K12" s="4" t="str">
        <f>_xlfn.CONCAT("set ",$B$3,":derivenode.set_value_cond.",B12," =  """,D12," &gt;=",F12,"""")</f>
        <v>set NaRank:derivenode.set_value_cond.Cp =  "Na &gt;=0.85"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python</vt:lpstr>
      <vt:lpstr>従来スクリプト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YOICHIRO NISHIMAKI</dc:creator>
  <cp:lastModifiedBy>YOICHIRO NISHIMAKI</cp:lastModifiedBy>
  <dcterms:created xsi:type="dcterms:W3CDTF">2025-11-27T02:45:35Z</dcterms:created>
  <dcterms:modified xsi:type="dcterms:W3CDTF">2025-11-27T09:18:26Z</dcterms:modified>
</cp:coreProperties>
</file>